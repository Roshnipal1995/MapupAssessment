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176428E6-CC11-C334-683E-B6102A28F97D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p\MapUp-Data-Assessment-F\"/>
    </mc:Choice>
  </mc:AlternateContent>
  <bookViews>
    <workbookView xWindow="0" yWindow="495" windowWidth="29400" windowHeight="16305" tabRatio="849" activeTab="3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0" i="18" l="1"/>
  <c r="E30" i="18"/>
  <c r="F30" i="18"/>
  <c r="D29" i="18"/>
  <c r="E29" i="18"/>
  <c r="F29" i="18"/>
  <c r="D28" i="18"/>
  <c r="E28" i="18"/>
  <c r="F28" i="18"/>
  <c r="C30" i="18"/>
  <c r="C29" i="18"/>
  <c r="C28" i="18"/>
  <c r="B30" i="18"/>
  <c r="B28" i="18"/>
  <c r="B29" i="18"/>
  <c r="F20" i="18"/>
  <c r="F21" i="18"/>
  <c r="F22" i="18"/>
  <c r="F23" i="18"/>
  <c r="F24" i="18"/>
  <c r="F25" i="18"/>
  <c r="F26" i="18"/>
  <c r="F27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6" i="18"/>
  <c r="E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6" i="18"/>
  <c r="D6" i="18"/>
  <c r="D25" i="18"/>
  <c r="D26" i="18"/>
  <c r="D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C6" i="18"/>
  <c r="C27" i="18"/>
  <c r="C26" i="18"/>
  <c r="C19" i="18"/>
  <c r="C20" i="18"/>
  <c r="C21" i="18"/>
  <c r="C22" i="18"/>
  <c r="C23" i="18"/>
  <c r="C24" i="18"/>
  <c r="C25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B6" i="18"/>
  <c r="B24" i="18"/>
  <c r="B25" i="18"/>
  <c r="B26" i="18"/>
  <c r="B27" i="18"/>
  <c r="B21" i="18"/>
  <c r="B22" i="18"/>
  <c r="B23" i="18"/>
  <c r="B20" i="18"/>
  <c r="B19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D12" i="19" l="1"/>
  <c r="H41" i="1" l="1"/>
  <c r="D13" i="19" l="1"/>
  <c r="D22" i="19"/>
  <c r="D14" i="19"/>
  <c r="D15" i="19"/>
  <c r="D16" i="19"/>
  <c r="D17" i="19"/>
  <c r="D18" i="19"/>
  <c r="D19" i="19"/>
  <c r="D20" i="19"/>
  <c r="D21" i="19"/>
</calcChain>
</file>

<file path=xl/sharedStrings.xml><?xml version="1.0" encoding="utf-8"?>
<sst xmlns="http://schemas.openxmlformats.org/spreadsheetml/2006/main" count="409" uniqueCount="185">
  <si>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</si>
  <si>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</si>
  <si>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</si>
  <si>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</si>
  <si>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</si>
  <si>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</si>
  <si>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</si>
  <si>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</si>
  <si>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</si>
  <si>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</si>
  <si>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</si>
  <si>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</si>
  <si>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</si>
  <si>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</si>
  <si>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</si>
  <si>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</si>
  <si>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</si>
  <si>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</si>
  <si>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</si>
  <si>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</si>
  <si>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</si>
  <si>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</si>
  <si>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</si>
  <si>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</si>
  <si>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</si>
  <si>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</si>
  <si>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</si>
  <si>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</si>
  <si>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</si>
  <si>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</si>
  <si>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</si>
  <si>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</si>
  <si>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</si>
  <si>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</si>
  <si>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</si>
  <si>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</si>
  <si>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</si>
  <si>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</si>
  <si>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</si>
  <si>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</si>
  <si>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</si>
  <si>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</si>
  <si>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</si>
  <si>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</si>
  <si>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</si>
  <si>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</si>
  <si>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</si>
  <si>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</si>
  <si>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</si>
  <si>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</si>
  <si>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</si>
  <si>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</si>
  <si>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</si>
  <si>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</si>
  <si>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</si>
  <si>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</si>
  <si>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</si>
  <si>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</si>
  <si>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</si>
  <si>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</si>
  <si>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</si>
  <si>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</si>
  <si>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</si>
  <si>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</si>
  <si>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</si>
  <si>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</si>
  <si>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</si>
  <si>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</si>
  <si>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</si>
  <si>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</si>
  <si>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</si>
  <si>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</si>
  <si>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</si>
  <si>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</si>
  <si>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</si>
  <si>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</si>
  <si>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</si>
  <si>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</si>
  <si>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</si>
  <si>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</si>
  <si>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</si>
  <si>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</si>
  <si>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</si>
  <si>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</si>
  <si>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</si>
  <si>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</si>
  <si>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</si>
  <si>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</si>
  <si>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</si>
  <si>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</si>
  <si>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</si>
  <si>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</si>
  <si>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</si>
  <si>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</si>
  <si>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</si>
  <si>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</si>
  <si>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</si>
  <si>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</si>
  <si>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</si>
  <si>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</si>
  <si>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</si>
  <si>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</si>
  <si>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</si>
  <si>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</si>
  <si>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</si>
  <si>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</si>
  <si>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</si>
  <si>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</si>
  <si>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</si>
  <si>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</si>
  <si>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</si>
  <si>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</si>
  <si>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</si>
  <si>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</si>
  <si>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</si>
  <si>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</si>
  <si>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</si>
  <si>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</si>
  <si>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</si>
  <si>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</si>
  <si>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</si>
  <si>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</si>
  <si>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</si>
  <si>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</si>
  <si>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</si>
  <si>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</si>
  <si>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</si>
  <si>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</si>
  <si>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</si>
  <si>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</si>
  <si>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</si>
  <si>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</si>
  <si>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</si>
  <si>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</si>
  <si>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</si>
  <si>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</si>
  <si>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</si>
  <si>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</si>
  <si>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</si>
  <si>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</si>
  <si>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</si>
  <si>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</si>
  <si>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</si>
  <si>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</si>
  <si>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</si>
  <si>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</si>
  <si>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</si>
  <si>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</si>
  <si>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</si>
  <si>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</si>
  <si>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</si>
  <si>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</si>
  <si>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</si>
  <si>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</si>
  <si>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</si>
  <si>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</si>
  <si>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</si>
  <si>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</si>
  <si>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</si>
  <si>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</si>
  <si>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</si>
  <si>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</si>
  <si>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</si>
  <si>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</si>
  <si>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</si>
  <si>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</si>
  <si>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</si>
  <si>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</si>
  <si>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</si>
  <si>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</si>
  <si>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</si>
  <si>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</si>
  <si>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</si>
  <si>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</si>
  <si>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</si>
  <si>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</si>
  <si>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</si>
  <si>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 of H row</t>
  </si>
  <si>
    <t>SUMIF(H2:H40,"&gt;20")</t>
  </si>
  <si>
    <t>IFERROR</t>
  </si>
  <si>
    <t>If error is there, IFERROR will replace value with 20 and if no error is there it will return same value.</t>
  </si>
  <si>
    <t>Go to data tab and text to columns , go to deliminator.</t>
  </si>
  <si>
    <t>Delimiters used</t>
  </si>
  <si>
    <t>INDEX , MATCH</t>
  </si>
  <si>
    <t>Index will take range of table and match will find corresponding name_1 and name_2 values in  table B and will provide corresponding values from Table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</si>
</sst>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7" fillId="0" borderId="0" xfId="0" applyNumberFormat="1" applyFont="1"/>
    <xf numFmtId="165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6" t="s">
        <v>171</v>
      </c>
      <c r="B9" s="26" t="s">
        <v>169</v>
      </c>
    </row>
    <row r="10" spans="1:3" x14ac:dyDescent="0.2">
      <c r="A10" s="35" t="s">
        <v>172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topLeftCell="K1" zoomScaleNormal="100" workbookViewId="0">
      <pane ySplit="1" topLeftCell="A21" activePane="bottomLeft" state="frozen"/>
      <selection activeCell="K1" sqref="K1"/>
      <selection pane="bottomLeft" activeCell="J11" sqref="J11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G41" s="1" t="s">
        <v>177</v>
      </c>
      <c r="H41" s="1">
        <f>SUMIF(Dataset!H2:H40,"&gt;20")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15" sqref="C1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178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abSelected="1" zoomScaleNormal="100" workbookViewId="0">
      <selection activeCell="J28" sqref="J28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164</v>
      </c>
    </row>
    <row r="2" spans="1:7" s="41" customFormat="1" ht="21" x14ac:dyDescent="0.35">
      <c r="B2" s="41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VLOOKUP(A6,Dataset!A2:I11,7,0)</f>
        <v>2.7</v>
      </c>
      <c r="C6" s="12">
        <f>VLOOKUP(A6,Dataset!A2:X15,14,0)</f>
        <v>7.6</v>
      </c>
      <c r="D6" s="12">
        <f>VLOOKUP(A6,Dataset!A2:X35,18,0)</f>
        <v>4.2</v>
      </c>
      <c r="E6" s="12">
        <f>VLOOKUP(A6,Dataset!A2:X35,20,0)</f>
        <v>8.9</v>
      </c>
      <c r="F6" s="8">
        <f>VLOOKUP(A6,Dataset!A2:X35,22,0)</f>
        <v>4.2</v>
      </c>
    </row>
    <row r="7" spans="1:7" ht="15" x14ac:dyDescent="0.25">
      <c r="A7" s="7" t="s">
        <v>4</v>
      </c>
      <c r="B7" s="12">
        <f>VLOOKUP(A7,Dataset!A3:I12,7,0)</f>
        <v>2.7</v>
      </c>
      <c r="C7" s="12">
        <f>VLOOKUP(A7,Dataset!A3:X16,14,0)</f>
        <v>7.6</v>
      </c>
      <c r="D7" s="12">
        <f>VLOOKUP(A7,Dataset!A3:X36,18,0)</f>
        <v>4.2</v>
      </c>
      <c r="E7" s="12">
        <f>VLOOKUP(A7,Dataset!A3:X36,20,0)</f>
        <v>8.9</v>
      </c>
      <c r="F7" s="8">
        <f>VLOOKUP(A7,Dataset!A3:X36,22,0)</f>
        <v>4.2</v>
      </c>
    </row>
    <row r="8" spans="1:7" ht="15" x14ac:dyDescent="0.25">
      <c r="A8" s="7" t="s">
        <v>7</v>
      </c>
      <c r="B8" s="12">
        <f>VLOOKUP(A8,Dataset!A4:I13,7,0)</f>
        <v>3.6</v>
      </c>
      <c r="C8" s="12">
        <f>VLOOKUP(A8,Dataset!A4:X17,14,0)</f>
        <v>11.1</v>
      </c>
      <c r="D8" s="12">
        <f>VLOOKUP(A8,Dataset!A4:X37,18,0)</f>
        <v>5.8</v>
      </c>
      <c r="E8" s="12">
        <f>VLOOKUP(A8,Dataset!A4:X37,20,0)</f>
        <v>12.2</v>
      </c>
      <c r="F8" s="8">
        <f>VLOOKUP(A8,Dataset!A4:X37,22,0)</f>
        <v>5.8</v>
      </c>
    </row>
    <row r="9" spans="1:7" ht="15" x14ac:dyDescent="0.25">
      <c r="A9" s="7" t="s">
        <v>8</v>
      </c>
      <c r="B9" s="12">
        <f>VLOOKUP(A9,Dataset!A5:I14,7,0)</f>
        <v>4.9000000000000004</v>
      </c>
      <c r="C9" s="12">
        <f>VLOOKUP(A9,Dataset!A5:X18,14,0)</f>
        <v>13.3</v>
      </c>
      <c r="D9" s="12">
        <f>VLOOKUP(A9,Dataset!A5:X38,18,0)</f>
        <v>8.1</v>
      </c>
      <c r="E9" s="12">
        <f>VLOOKUP(A9,Dataset!A5:X38,20,0)</f>
        <v>17</v>
      </c>
      <c r="F9" s="8">
        <f>VLOOKUP(A9,Dataset!A5:X38,22,0)</f>
        <v>8.1</v>
      </c>
    </row>
    <row r="10" spans="1:7" ht="15" x14ac:dyDescent="0.25">
      <c r="A10" s="7" t="s">
        <v>11</v>
      </c>
      <c r="B10" s="12">
        <f>VLOOKUP(A10,Dataset!A6:I15,7,0)</f>
        <v>9.4</v>
      </c>
      <c r="C10" s="12">
        <f>VLOOKUP(A10,Dataset!A6:X19,14,0)</f>
        <v>28.3</v>
      </c>
      <c r="D10" s="12">
        <f>VLOOKUP(A10,Dataset!A6:X39,18,0)</f>
        <v>16.100000000000001</v>
      </c>
      <c r="E10" s="12">
        <f>VLOOKUP(A10,Dataset!A6:X39,20,0)</f>
        <v>32.799999999999997</v>
      </c>
      <c r="F10" s="8">
        <f>VLOOKUP(A10,Dataset!A6:X39,22,0)</f>
        <v>16.100000000000001</v>
      </c>
    </row>
    <row r="11" spans="1:7" ht="15" x14ac:dyDescent="0.25">
      <c r="A11" s="7" t="s">
        <v>12</v>
      </c>
      <c r="B11" s="12">
        <f>VLOOKUP(A11,Dataset!A7:I16,7,0)</f>
        <v>11.6</v>
      </c>
      <c r="C11" s="12">
        <f>VLOOKUP(A11,Dataset!A7:X20,14,0)</f>
        <v>35.200000000000003</v>
      </c>
      <c r="D11" s="12">
        <f>VLOOKUP(A11,Dataset!A7:X40,18,0)</f>
        <v>21.3</v>
      </c>
      <c r="E11" s="12">
        <f>VLOOKUP(A11,Dataset!A7:X40,20,0)</f>
        <v>43</v>
      </c>
      <c r="F11" s="8">
        <f>VLOOKUP(A11,Dataset!A7:X40,22,0)</f>
        <v>21.3</v>
      </c>
    </row>
    <row r="12" spans="1:7" ht="15" x14ac:dyDescent="0.25">
      <c r="A12" s="7" t="s">
        <v>14</v>
      </c>
      <c r="B12" s="12">
        <f>VLOOKUP(A12,Dataset!A8:I17,7,0)</f>
        <v>18.399999999999999</v>
      </c>
      <c r="C12" s="12">
        <f>VLOOKUP(A12,Dataset!A8:X21,14,0)</f>
        <v>55.6</v>
      </c>
      <c r="D12" s="12">
        <f>VLOOKUP(A12,Dataset!A8:X41,18,0)</f>
        <v>33.799999999999997</v>
      </c>
      <c r="E12" s="12">
        <f>VLOOKUP(A12,Dataset!A8:X41,20,0)</f>
        <v>67.900000000000006</v>
      </c>
      <c r="F12" s="8">
        <f>VLOOKUP(A12,Dataset!A8:X41,22,0)</f>
        <v>33.799999999999997</v>
      </c>
    </row>
    <row r="13" spans="1:7" ht="15" x14ac:dyDescent="0.25">
      <c r="A13" s="7" t="s">
        <v>15</v>
      </c>
      <c r="B13" s="12">
        <f>VLOOKUP(A13,Dataset!A9:I18,7,0)</f>
        <v>0</v>
      </c>
      <c r="C13" s="12">
        <f>VLOOKUP(A13,Dataset!A9:X22,14,0)</f>
        <v>0</v>
      </c>
      <c r="D13" s="12">
        <f>VLOOKUP(A13,Dataset!A9:X42,18,0)</f>
        <v>0</v>
      </c>
      <c r="E13" s="12">
        <f>VLOOKUP(A13,Dataset!A9:X42,20,0)</f>
        <v>0</v>
      </c>
      <c r="F13" s="8">
        <f>VLOOKUP(A13,Dataset!A9:X42,22,0)</f>
        <v>0</v>
      </c>
    </row>
    <row r="14" spans="1:7" ht="15" x14ac:dyDescent="0.25">
      <c r="A14" s="7" t="s">
        <v>16</v>
      </c>
      <c r="B14" s="12">
        <f>VLOOKUP(A14,Dataset!A10:I19,7,0)</f>
        <v>21.9</v>
      </c>
      <c r="C14" s="12">
        <f>VLOOKUP(A14,Dataset!A10:X23,14,0)</f>
        <v>61.5</v>
      </c>
      <c r="D14" s="12">
        <f>VLOOKUP(A14,Dataset!A10:X43,18,0)</f>
        <v>40.1</v>
      </c>
      <c r="E14" s="12">
        <f>VLOOKUP(A14,Dataset!A10:X43,20,0)</f>
        <v>76.599999999999994</v>
      </c>
      <c r="F14" s="8">
        <f>VLOOKUP(A14,Dataset!A10:X43,22,0)</f>
        <v>40.1</v>
      </c>
    </row>
    <row r="15" spans="1:7" ht="15" x14ac:dyDescent="0.25">
      <c r="A15" s="7" t="s">
        <v>18</v>
      </c>
      <c r="B15" s="12">
        <f>VLOOKUP(A15,Dataset!A11:I20,7,0)</f>
        <v>26.8</v>
      </c>
      <c r="C15" s="12">
        <f>VLOOKUP(A15,Dataset!A11:X24,14,0)</f>
        <v>79.599999999999994</v>
      </c>
      <c r="D15" s="12">
        <f>VLOOKUP(A15,Dataset!A11:X44,18,0)</f>
        <v>47.9</v>
      </c>
      <c r="E15" s="12">
        <f>VLOOKUP(A15,Dataset!A11:X44,20,0)</f>
        <v>96.8</v>
      </c>
      <c r="F15" s="8">
        <f>VLOOKUP(A15,Dataset!A11:X44,22,0)</f>
        <v>47.9</v>
      </c>
    </row>
    <row r="16" spans="1:7" ht="15" x14ac:dyDescent="0.25">
      <c r="A16" s="7" t="s">
        <v>20</v>
      </c>
      <c r="B16" s="12">
        <f>VLOOKUP(A16,Dataset!A12:I21,7,0)</f>
        <v>28.5</v>
      </c>
      <c r="C16" s="12">
        <f>VLOOKUP(A16,Dataset!A12:X25,14,0)</f>
        <v>85.4</v>
      </c>
      <c r="D16" s="12">
        <f>VLOOKUP(A16,Dataset!A12:X45,18,0)</f>
        <v>52.3</v>
      </c>
      <c r="E16" s="12">
        <f>VLOOKUP(A16,Dataset!A12:X45,20,0)</f>
        <v>106.1</v>
      </c>
      <c r="F16" s="8">
        <f>VLOOKUP(A16,Dataset!A12:X45,22,0)</f>
        <v>52.3</v>
      </c>
    </row>
    <row r="17" spans="1:6" ht="15" x14ac:dyDescent="0.25">
      <c r="A17" s="7" t="s">
        <v>22</v>
      </c>
      <c r="B17" s="12">
        <f>VLOOKUP(A17,Dataset!A13:I22,7,0)</f>
        <v>30.7</v>
      </c>
      <c r="C17" s="12">
        <f>VLOOKUP(A17,Dataset!A13:X26,14,0)</f>
        <v>92.1</v>
      </c>
      <c r="D17" s="12">
        <f>VLOOKUP(A17,Dataset!A13:X46,18,0)</f>
        <v>57</v>
      </c>
      <c r="E17" s="12">
        <f>VLOOKUP(A17,Dataset!A13:X46,20,0)</f>
        <v>115.1</v>
      </c>
      <c r="F17" s="8">
        <f>VLOOKUP(A17,Dataset!A13:X46,22,0)</f>
        <v>57</v>
      </c>
    </row>
    <row r="18" spans="1:6" ht="15" x14ac:dyDescent="0.25">
      <c r="A18" s="7" t="s">
        <v>23</v>
      </c>
      <c r="B18" s="12">
        <f>VLOOKUP(A18,Dataset!A14:I23,7,0)</f>
        <v>33.799999999999997</v>
      </c>
      <c r="C18" s="12">
        <f>VLOOKUP(A18,Dataset!A14:X27,14,0)</f>
        <v>101.3</v>
      </c>
      <c r="D18" s="12">
        <f>VLOOKUP(A18,Dataset!A14:X47,18,0)</f>
        <v>61.4</v>
      </c>
      <c r="E18" s="12">
        <f>VLOOKUP(A18,Dataset!A14:X47,20,0)</f>
        <v>124.4</v>
      </c>
      <c r="F18" s="8">
        <f>VLOOKUP(A18,Dataset!A14:X47,22,0)</f>
        <v>61.4</v>
      </c>
    </row>
    <row r="19" spans="1:6" ht="15" x14ac:dyDescent="0.25">
      <c r="A19" s="7" t="s">
        <v>24</v>
      </c>
      <c r="B19" s="12">
        <f>VLOOKUP(A19,Dataset!A15:I24,7,0)</f>
        <v>34.700000000000003</v>
      </c>
      <c r="C19" s="12">
        <f>VLOOKUP(A19,Dataset!A15:X28,14,0)</f>
        <v>106.1</v>
      </c>
      <c r="D19" s="12">
        <f>VLOOKUP(A19,Dataset!A15:X48,18,0)</f>
        <v>63.6</v>
      </c>
      <c r="E19" s="12">
        <f>VLOOKUP(A19,Dataset!A15:X48,20,0)</f>
        <v>128.6</v>
      </c>
      <c r="F19" s="8">
        <f>VLOOKUP(A19,Dataset!A15:X48,22,0)</f>
        <v>63.6</v>
      </c>
    </row>
    <row r="20" spans="1:6" ht="15" x14ac:dyDescent="0.25">
      <c r="A20" s="7" t="s">
        <v>28</v>
      </c>
      <c r="B20" s="12">
        <f>VLOOKUP(A20,Dataset!A16:I45,7,0)</f>
        <v>0</v>
      </c>
      <c r="C20" s="12">
        <f>VLOOKUP(A20,Dataset!A16:X29,14,0)</f>
        <v>0</v>
      </c>
      <c r="D20" s="12">
        <f>VLOOKUP(A20,Dataset!A16:X49,18,0)</f>
        <v>0</v>
      </c>
      <c r="E20" s="12">
        <f>VLOOKUP(A20,Dataset!A16:X49,20,0)</f>
        <v>0</v>
      </c>
      <c r="F20" s="8">
        <f>VLOOKUP(A20,Dataset!A16:X49,22,0)</f>
        <v>0</v>
      </c>
    </row>
    <row r="21" spans="1:6" ht="15" x14ac:dyDescent="0.25">
      <c r="A21" s="7" t="s">
        <v>57</v>
      </c>
      <c r="B21" s="12">
        <f>VLOOKUP(A21,Dataset!A17:I46,7,0)</f>
        <v>41.3</v>
      </c>
      <c r="C21" s="12">
        <f>VLOOKUP(A21,Dataset!A17:X30,14,0)</f>
        <v>124.4</v>
      </c>
      <c r="D21" s="12">
        <f>VLOOKUP(A21,Dataset!A17:X50,18,0)</f>
        <v>75</v>
      </c>
      <c r="E21" s="12">
        <f>VLOOKUP(A21,Dataset!A17:X50,20,0)</f>
        <v>151.5</v>
      </c>
      <c r="F21" s="8">
        <f>VLOOKUP(A21,Dataset!A17:X50,22,0)</f>
        <v>75</v>
      </c>
    </row>
    <row r="22" spans="1:6" ht="15" x14ac:dyDescent="0.25">
      <c r="A22" s="7" t="s">
        <v>58</v>
      </c>
      <c r="B22" s="12">
        <f>VLOOKUP(A22,Dataset!A18:I47,7,0)</f>
        <v>-1</v>
      </c>
      <c r="C22" s="12">
        <f>VLOOKUP(A22,Dataset!A18:X31,14,0)</f>
        <v>-1</v>
      </c>
      <c r="D22" s="12">
        <f>VLOOKUP(A22,Dataset!A18:X51,18,0)</f>
        <v>-1</v>
      </c>
      <c r="E22" s="12">
        <f>VLOOKUP(A22,Dataset!A18:X51,20,0)</f>
        <v>-1</v>
      </c>
      <c r="F22" s="8">
        <f>VLOOKUP(A22,Dataset!A18:X51,22,0)</f>
        <v>-1</v>
      </c>
    </row>
    <row r="23" spans="1:6" ht="15" x14ac:dyDescent="0.25">
      <c r="A23" s="7" t="s">
        <v>31</v>
      </c>
      <c r="B23" s="12">
        <f>VLOOKUP(A23,Dataset!A19:I48,7,0)</f>
        <v>45</v>
      </c>
      <c r="C23" s="12">
        <f>VLOOKUP(A23,Dataset!A19:X32,14,0)</f>
        <v>133.4</v>
      </c>
      <c r="D23" s="12">
        <f>VLOOKUP(A23,Dataset!A19:X52,18,0)</f>
        <v>79.400000000000006</v>
      </c>
      <c r="E23" s="12">
        <f>VLOOKUP(A23,Dataset!A19:X52,20,0)</f>
        <v>160.9</v>
      </c>
      <c r="F23" s="8">
        <f>VLOOKUP(A23,Dataset!A19:X52,22,0)</f>
        <v>79.400000000000006</v>
      </c>
    </row>
    <row r="24" spans="1:6" ht="15" x14ac:dyDescent="0.25">
      <c r="A24" s="7" t="s">
        <v>32</v>
      </c>
      <c r="B24" s="12">
        <f>VLOOKUP(A24,Dataset!A20:I49,7,0)</f>
        <v>-1</v>
      </c>
      <c r="C24" s="12">
        <f>VLOOKUP(A24,Dataset!A20:X33,14,0)</f>
        <v>-1</v>
      </c>
      <c r="D24" s="12">
        <f>VLOOKUP(A24,Dataset!A20:X53,18,0)</f>
        <v>-1</v>
      </c>
      <c r="E24" s="12">
        <f>VLOOKUP(A24,Dataset!A20:X53,20,0)</f>
        <v>-1</v>
      </c>
      <c r="F24" s="8">
        <f>VLOOKUP(A24,Dataset!A20:X53,22,0)</f>
        <v>-1</v>
      </c>
    </row>
    <row r="25" spans="1:6" ht="15" x14ac:dyDescent="0.25">
      <c r="A25" s="7" t="s">
        <v>34</v>
      </c>
      <c r="B25" s="12">
        <f>VLOOKUP(A25,Dataset!A21:I50,7,0)</f>
        <v>43.3</v>
      </c>
      <c r="C25" s="12">
        <f>VLOOKUP(A25,Dataset!A21:X34,14,0)</f>
        <v>128.6</v>
      </c>
      <c r="D25" s="12">
        <f>VLOOKUP(A25,Dataset!A21:X54,18,0)</f>
        <v>79.400000000000006</v>
      </c>
      <c r="E25" s="12">
        <f>VLOOKUP(A25,Dataset!A21:X54,20,0)</f>
        <v>160.9</v>
      </c>
      <c r="F25" s="8">
        <f>VLOOKUP(A25,Dataset!A21:X54,22,0)</f>
        <v>79.400000000000006</v>
      </c>
    </row>
    <row r="26" spans="1:6" ht="15" x14ac:dyDescent="0.25">
      <c r="A26" s="7" t="s">
        <v>37</v>
      </c>
      <c r="B26" s="12">
        <f>VLOOKUP(A26,Dataset!A22:I51,7,0)</f>
        <v>49.1</v>
      </c>
      <c r="C26" s="12">
        <f>VLOOKUP(A26,Dataset!A22:X40,14,0)</f>
        <v>146.80000000000001</v>
      </c>
      <c r="D26" s="12">
        <f>VLOOKUP(A26,Dataset!A22:X55,18,0)</f>
        <v>90.9</v>
      </c>
      <c r="E26" s="12">
        <f>VLOOKUP(A26,Dataset!A22:X55,20,0)</f>
        <v>183.5</v>
      </c>
      <c r="F26" s="8">
        <f>VLOOKUP(A26,Dataset!A22:X55,22,0)</f>
        <v>90.9</v>
      </c>
    </row>
    <row r="27" spans="1:6" ht="15" x14ac:dyDescent="0.25">
      <c r="A27" s="7" t="s">
        <v>39</v>
      </c>
      <c r="B27" s="12">
        <f>VLOOKUP(A27,Dataset!A23:I52,7,0)</f>
        <v>51.8</v>
      </c>
      <c r="C27" s="12">
        <f>VLOOKUP(A27,Dataset!A23:X41,14,0)</f>
        <v>156.4</v>
      </c>
      <c r="D27" s="12">
        <f>VLOOKUP(A27,Dataset!A23:X56,18,0)</f>
        <v>93.1</v>
      </c>
      <c r="E27" s="12">
        <f>VLOOKUP(A27,Dataset!A23:X56,20,0)</f>
        <v>188.1</v>
      </c>
      <c r="F27" s="8">
        <f>VLOOKUP(A27,Dataset!A23:X56,22,0)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MIN(B6:B27)</f>
        <v>-1</v>
      </c>
      <c r="D28" s="31">
        <f t="shared" ref="D28:F28" si="0">MIN(C6:C27)</f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>MAX(C6:C27)</f>
        <v>156.4</v>
      </c>
      <c r="D29" s="31">
        <f t="shared" ref="D29:F29" si="1">MAX(D6:D27)</f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 t="shared" ref="D30:F30" si="2">AVERAGE(D6:D27)</f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G8" sqref="G8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3" t="s">
        <v>53</v>
      </c>
      <c r="B5" s="40" t="s">
        <v>182</v>
      </c>
    </row>
    <row r="6" spans="1:10" ht="18.75" x14ac:dyDescent="0.3">
      <c r="A6" s="43" t="s">
        <v>153</v>
      </c>
      <c r="B6" s="40" t="s">
        <v>181</v>
      </c>
    </row>
    <row r="7" spans="1:10" ht="18.75" x14ac:dyDescent="0.3">
      <c r="A7" s="43"/>
      <c r="B7" s="40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B7" sqref="B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2" t="s">
        <v>85</v>
      </c>
      <c r="B1" s="41" t="s">
        <v>167</v>
      </c>
    </row>
    <row r="2" spans="1:4" ht="18.75" x14ac:dyDescent="0.3">
      <c r="B2" s="40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1" t="s">
        <v>179</v>
      </c>
    </row>
    <row r="7" spans="1:4" ht="15" x14ac:dyDescent="0.25">
      <c r="A7" s="3" t="s">
        <v>153</v>
      </c>
      <c r="B7" s="1" t="s">
        <v>180</v>
      </c>
    </row>
    <row r="10" spans="1:4" ht="23.25" x14ac:dyDescent="0.35">
      <c r="A10" s="18" t="s">
        <v>162</v>
      </c>
    </row>
    <row r="11" spans="1:4" ht="15" x14ac:dyDescent="0.25">
      <c r="A11" s="32" t="s">
        <v>86</v>
      </c>
      <c r="B11" s="17" t="s">
        <v>87</v>
      </c>
      <c r="C11" s="17" t="s">
        <v>88</v>
      </c>
      <c r="D11" s="2" t="s">
        <v>88</v>
      </c>
    </row>
    <row r="12" spans="1:4" ht="15" x14ac:dyDescent="0.25">
      <c r="A12" s="32">
        <v>44927</v>
      </c>
      <c r="B12" s="17" t="s">
        <v>59</v>
      </c>
      <c r="C12" s="17">
        <v>200</v>
      </c>
      <c r="D12" s="2">
        <f>IFERROR(B6iC12, 20)</f>
        <v>20</v>
      </c>
    </row>
    <row r="13" spans="1:4" ht="15" x14ac:dyDescent="0.25">
      <c r="A13" s="32">
        <v>44928</v>
      </c>
      <c r="B13" s="17" t="s">
        <v>60</v>
      </c>
      <c r="C13" s="17" t="e">
        <v>#N/A</v>
      </c>
      <c r="D13" s="2">
        <f>IFERROR(C13, 20)</f>
        <v>20</v>
      </c>
    </row>
    <row r="14" spans="1:4" ht="15" x14ac:dyDescent="0.25">
      <c r="A14" s="32">
        <v>44929</v>
      </c>
      <c r="B14" s="17" t="s">
        <v>61</v>
      </c>
      <c r="C14" s="17">
        <v>50</v>
      </c>
      <c r="D14" s="2">
        <f t="shared" ref="D14:D21" si="0">IFERROR(C14, 20)</f>
        <v>50</v>
      </c>
    </row>
    <row r="15" spans="1:4" ht="15" x14ac:dyDescent="0.25">
      <c r="A15" s="32">
        <v>44930</v>
      </c>
      <c r="B15" s="17" t="s">
        <v>62</v>
      </c>
      <c r="C15" s="17" t="e">
        <v>#N/A</v>
      </c>
      <c r="D15" s="2">
        <f t="shared" si="0"/>
        <v>20</v>
      </c>
    </row>
    <row r="16" spans="1:4" ht="15" x14ac:dyDescent="0.25">
      <c r="A16" s="32">
        <v>44931</v>
      </c>
      <c r="B16" s="17" t="s">
        <v>63</v>
      </c>
      <c r="C16" s="17">
        <v>10</v>
      </c>
      <c r="D16" s="2">
        <f t="shared" si="0"/>
        <v>10</v>
      </c>
    </row>
    <row r="17" spans="1:4" ht="15" x14ac:dyDescent="0.25">
      <c r="A17" s="32">
        <v>44932</v>
      </c>
      <c r="B17" s="17" t="s">
        <v>154</v>
      </c>
      <c r="C17" s="17">
        <v>150</v>
      </c>
      <c r="D17" s="2">
        <f t="shared" si="0"/>
        <v>150</v>
      </c>
    </row>
    <row r="18" spans="1:4" ht="15" x14ac:dyDescent="0.25">
      <c r="A18" s="32">
        <v>44933</v>
      </c>
      <c r="B18" s="17" t="s">
        <v>155</v>
      </c>
      <c r="C18" s="17">
        <v>80</v>
      </c>
      <c r="D18" s="2">
        <f t="shared" si="0"/>
        <v>80</v>
      </c>
    </row>
    <row r="19" spans="1:4" ht="15" x14ac:dyDescent="0.25">
      <c r="A19" s="32">
        <v>44934</v>
      </c>
      <c r="B19" s="17" t="s">
        <v>156</v>
      </c>
      <c r="C19" s="17" t="e">
        <v>#N/A</v>
      </c>
      <c r="D19" s="2">
        <f t="shared" si="0"/>
        <v>20</v>
      </c>
    </row>
    <row r="20" spans="1:4" ht="15" x14ac:dyDescent="0.25">
      <c r="A20" s="32">
        <v>44935</v>
      </c>
      <c r="B20" s="17" t="s">
        <v>157</v>
      </c>
      <c r="C20" s="17">
        <v>30</v>
      </c>
      <c r="D20" s="2">
        <f t="shared" si="0"/>
        <v>30</v>
      </c>
    </row>
    <row r="21" spans="1:4" ht="15" x14ac:dyDescent="0.25">
      <c r="A21" s="32">
        <v>44936</v>
      </c>
      <c r="B21" s="17" t="s">
        <v>158</v>
      </c>
      <c r="C21" s="17" t="e">
        <v>#N/A</v>
      </c>
      <c r="D21" s="2">
        <f t="shared" si="0"/>
        <v>20</v>
      </c>
    </row>
    <row r="22" spans="1:4" ht="15" x14ac:dyDescent="0.25">
      <c r="B22" s="17" t="s">
        <v>159</v>
      </c>
      <c r="C22" s="25"/>
      <c r="D22" s="2">
        <f>SUM(D12:D21)</f>
        <v>420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5" zoomScaleNormal="100" workbookViewId="0">
      <selection activeCell="B5" sqref="B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175</v>
      </c>
    </row>
    <row r="3" spans="1:14" ht="15" x14ac:dyDescent="0.25">
      <c r="B3" s="1" t="s">
        <v>151</v>
      </c>
    </row>
    <row r="4" spans="1:14" ht="18.75" x14ac:dyDescent="0.3">
      <c r="A4" s="43" t="s">
        <v>53</v>
      </c>
      <c r="B4" s="1"/>
      <c r="C4" s="2" t="s">
        <v>183</v>
      </c>
    </row>
    <row r="5" spans="1:14" ht="18.75" x14ac:dyDescent="0.3">
      <c r="A5" s="43" t="s">
        <v>153</v>
      </c>
      <c r="B5" s="1" t="s">
        <v>184</v>
      </c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>
        <f>INDEX($B$10:$J$18,MATCH(A23,$M$10:$M$18,0),MATCH(B23,$M$10:$M$18,0))</f>
        <v>95</v>
      </c>
    </row>
    <row r="24" spans="1:14" ht="15" x14ac:dyDescent="0.25">
      <c r="A24" s="7">
        <v>10100</v>
      </c>
      <c r="B24" s="12">
        <v>10104</v>
      </c>
      <c r="C24" s="44">
        <f t="shared" ref="C24:C35" si="0">INDEX($B$10:$J$18,MATCH(A24,$M$10:$M$18,0),MATCH(B24,$M$10:$M$18,0))</f>
        <v>-1</v>
      </c>
    </row>
    <row r="25" spans="1:14" ht="15" x14ac:dyDescent="0.25">
      <c r="A25" s="7">
        <v>10108</v>
      </c>
      <c r="B25" s="12">
        <v>10102</v>
      </c>
      <c r="C25" s="44">
        <f t="shared" si="0"/>
        <v>160</v>
      </c>
    </row>
    <row r="26" spans="1:14" ht="15" x14ac:dyDescent="0.25">
      <c r="A26" s="7">
        <v>10100</v>
      </c>
      <c r="B26" s="12">
        <v>10106</v>
      </c>
      <c r="C26" s="44">
        <f t="shared" si="0"/>
        <v>185</v>
      </c>
    </row>
    <row r="27" spans="1:14" ht="15" x14ac:dyDescent="0.25">
      <c r="A27" s="7">
        <v>10108</v>
      </c>
      <c r="B27" s="12">
        <v>10110</v>
      </c>
      <c r="C27" s="44">
        <f t="shared" si="0"/>
        <v>50</v>
      </c>
    </row>
    <row r="28" spans="1:14" ht="15" x14ac:dyDescent="0.25">
      <c r="A28" s="7">
        <v>10102</v>
      </c>
      <c r="B28" s="12">
        <v>10104</v>
      </c>
      <c r="C28" s="44">
        <f t="shared" si="0"/>
        <v>-1</v>
      </c>
    </row>
    <row r="29" spans="1:14" ht="15" x14ac:dyDescent="0.25">
      <c r="A29" s="7">
        <v>10106</v>
      </c>
      <c r="B29" s="12">
        <v>10108</v>
      </c>
      <c r="C29" s="44">
        <f t="shared" si="0"/>
        <v>70</v>
      </c>
    </row>
    <row r="30" spans="1:14" ht="15" x14ac:dyDescent="0.25">
      <c r="A30" s="7">
        <v>10102</v>
      </c>
      <c r="B30" s="12">
        <v>10106</v>
      </c>
      <c r="C30" s="44">
        <f t="shared" si="0"/>
        <v>90</v>
      </c>
    </row>
    <row r="31" spans="1:14" ht="15" x14ac:dyDescent="0.25">
      <c r="A31" s="7">
        <v>10110</v>
      </c>
      <c r="B31" s="12">
        <v>10114</v>
      </c>
      <c r="C31" s="44">
        <f t="shared" si="0"/>
        <v>180</v>
      </c>
    </row>
    <row r="32" spans="1:14" ht="15" x14ac:dyDescent="0.25">
      <c r="A32" s="7">
        <v>10104</v>
      </c>
      <c r="B32" s="12">
        <v>10106</v>
      </c>
      <c r="C32" s="44">
        <f t="shared" si="0"/>
        <v>60</v>
      </c>
    </row>
    <row r="33" spans="1:3" ht="15" x14ac:dyDescent="0.25">
      <c r="A33" s="7">
        <v>10110</v>
      </c>
      <c r="B33" s="12">
        <v>10112</v>
      </c>
      <c r="C33" s="44">
        <f t="shared" si="0"/>
        <v>115</v>
      </c>
    </row>
    <row r="34" spans="1:3" ht="15" x14ac:dyDescent="0.25">
      <c r="A34" s="7">
        <v>10100</v>
      </c>
      <c r="B34" s="12">
        <v>10114</v>
      </c>
      <c r="C34" s="44">
        <f t="shared" si="0"/>
        <v>480</v>
      </c>
    </row>
    <row r="35" spans="1:3" ht="15" x14ac:dyDescent="0.25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2023-12-10T14:14:10Z</dcterms:modified>
</cp:coreProperties>
</file>